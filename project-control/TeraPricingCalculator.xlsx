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سعير التطبيقات" sheetId="1" state="visible" r:id="rId1"/>
    <sheet xmlns:r="http://schemas.openxmlformats.org/officeDocument/2006/relationships" name="Platforms" sheetId="2" state="visible" r:id="rId2"/>
    <sheet xmlns:r="http://schemas.openxmlformats.org/officeDocument/2006/relationships" name="Languages" sheetId="3" state="visible" r:id="rId3"/>
    <sheet xmlns:r="http://schemas.openxmlformats.org/officeDocument/2006/relationships" name="RiskLevels" sheetId="4" state="visible" r:id="rId4"/>
    <sheet xmlns:r="http://schemas.openxmlformats.org/officeDocument/2006/relationships" name="RushLevels" sheetId="5" state="visible" r:id="rId5"/>
    <sheet xmlns:r="http://schemas.openxmlformats.org/officeDocument/2006/relationships" name="AddonsRe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3864"/>
      <sz val="12"/>
    </font>
    <font>
      <name val="Calibri"/>
      <color rgb="00333333"/>
      <sz val="10"/>
    </font>
    <font>
      <name val="Calibri"/>
      <b val="1"/>
      <color rgb="00333333"/>
      <sz val="10"/>
    </font>
    <font>
      <name val="Calibri"/>
      <i val="1"/>
      <color rgb="00888888"/>
      <sz val="8"/>
    </font>
    <font>
      <name val="Calibri"/>
      <b val="1"/>
      <color rgb="001F3864"/>
      <sz val="10"/>
    </font>
    <font>
      <name val="Calibri"/>
      <b val="1"/>
      <color rgb="00006100"/>
      <sz val="1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bottom style="medium">
        <color rgb="001F3864"/>
      </bottom>
    </border>
    <border>
      <left/>
      <right/>
      <top/>
      <bottom style="medium">
        <color rgb="001F38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0" borderId="0" pivotButton="0" quotePrefix="0" xfId="0"/>
    <xf numFmtId="2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 wrapText="1"/>
    </xf>
    <xf numFmtId="9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center" vertical="center" wrapText="1"/>
    </xf>
    <xf numFmtId="4" fontId="6" fillId="0" borderId="0" applyAlignment="1" pivotButton="0" quotePrefix="0" xfId="0">
      <alignment horizontal="center" vertical="center" wrapText="1"/>
    </xf>
    <xf numFmtId="4" fontId="3" fillId="0" borderId="0" applyAlignment="1" pivotButton="0" quotePrefix="0" xfId="0">
      <alignment horizontal="center" vertical="center" wrapText="1"/>
    </xf>
    <xf numFmtId="3" fontId="7" fillId="5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hidden="1" width="38" customWidth="1" min="5" max="5"/>
  </cols>
  <sheetData>
    <row r="1">
      <c r="A1" s="1" t="inlineStr">
        <is>
          <t>حاسبة تسعير التطبيقات — Tera Pricing Calculator  v4.2</t>
        </is>
      </c>
    </row>
    <row r="3">
      <c r="A3" s="2" t="inlineStr">
        <is>
          <t>معلومات المشروع</t>
        </is>
      </c>
      <c r="B3" s="20" t="n"/>
      <c r="C3" s="20" t="n"/>
      <c r="D3" s="20" t="n"/>
      <c r="E3" s="20" t="n"/>
    </row>
    <row r="4">
      <c r="A4" s="4" t="inlineStr">
        <is>
          <t>اسم المشروع</t>
        </is>
      </c>
      <c r="B4" s="5" t="inlineStr">
        <is>
          <t>مشروع الموثوق - نظام صيانة</t>
        </is>
      </c>
    </row>
    <row r="5">
      <c r="A5" s="4" t="inlineStr">
        <is>
          <t>اسم العميل</t>
        </is>
      </c>
      <c r="B5" s="5" t="inlineStr">
        <is>
          <t>الموثوق للصيانة</t>
        </is>
      </c>
    </row>
    <row r="6">
      <c r="A6" s="4" t="inlineStr">
        <is>
          <t>التاريخ</t>
        </is>
      </c>
      <c r="B6" s="5" t="inlineStr">
        <is>
          <t>2026-07-05</t>
        </is>
      </c>
    </row>
    <row r="7">
      <c r="A7" s="4" t="inlineStr">
        <is>
          <t>أعدها</t>
        </is>
      </c>
      <c r="B7" s="5" t="inlineStr">
        <is>
          <t>TeraSystemEvolutionAgent (اختبار)</t>
        </is>
      </c>
    </row>
    <row r="9">
      <c r="A9" s="2" t="inlineStr">
        <is>
          <t>عوامل التقييم — أدخل الدرجة من 0 إلى 5</t>
        </is>
      </c>
      <c r="B9" s="20" t="n"/>
      <c r="C9" s="20" t="n"/>
      <c r="D9" s="20" t="n"/>
      <c r="E9" s="20" t="n"/>
    </row>
    <row r="10">
      <c r="A10" s="4" t="inlineStr">
        <is>
          <t>1. عدد الشاشات والواجهات  (الوزن: 1.5)</t>
        </is>
      </c>
      <c r="B10" s="6" t="n">
        <v>3</v>
      </c>
      <c r="C10" s="7" t="n">
        <v>1.5</v>
      </c>
      <c r="D10" s="7">
        <f>B10*C10</f>
        <v/>
      </c>
    </row>
    <row r="11">
      <c r="A11" s="4" t="inlineStr">
        <is>
          <t>2. تعقيد منطق الأعمال  (الوزن: 2)</t>
        </is>
      </c>
      <c r="B11" s="6" t="n">
        <v>4</v>
      </c>
      <c r="C11" s="7" t="n">
        <v>2</v>
      </c>
      <c r="D11" s="7">
        <f>B11*C11</f>
        <v/>
      </c>
    </row>
    <row r="12">
      <c r="A12" s="4" t="inlineStr">
        <is>
          <t>3. قاعدة البيانات والعلاقات  (الوزن: 2)</t>
        </is>
      </c>
      <c r="B12" s="6" t="n">
        <v>3</v>
      </c>
      <c r="C12" s="7" t="n">
        <v>2</v>
      </c>
      <c r="D12" s="7">
        <f>B12*C12</f>
        <v/>
      </c>
    </row>
    <row r="13">
      <c r="A13" s="4" t="inlineStr">
        <is>
          <t>4. الصلاحيات والمستخدمون  (الوزن: 2)</t>
        </is>
      </c>
      <c r="B13" s="6" t="n">
        <v>3</v>
      </c>
      <c r="C13" s="7" t="n">
        <v>2</v>
      </c>
      <c r="D13" s="7">
        <f>B13*C13</f>
        <v/>
      </c>
    </row>
    <row r="14">
      <c r="A14" s="4" t="inlineStr">
        <is>
          <t>5. التقارير والداشبورد  (الوزن: 1.5)</t>
        </is>
      </c>
      <c r="B14" s="6" t="n">
        <v>2</v>
      </c>
      <c r="C14" s="7" t="n">
        <v>1.5</v>
      </c>
      <c r="D14" s="7">
        <f>B14*C14</f>
        <v/>
      </c>
    </row>
    <row r="15">
      <c r="A15" s="4" t="inlineStr">
        <is>
          <t>6. التكاملات الخارجية  (الوزن: 2)</t>
        </is>
      </c>
      <c r="B15" s="6" t="n">
        <v>0</v>
      </c>
      <c r="C15" s="7" t="n">
        <v>2</v>
      </c>
      <c r="D15" s="7">
        <f>B15*C15</f>
        <v/>
      </c>
    </row>
    <row r="16">
      <c r="A16" s="4" t="inlineStr">
        <is>
          <t>7. التصميم وتجربة المستخدم  (الوزن: 1.5)</t>
        </is>
      </c>
      <c r="B16" s="6" t="n">
        <v>2</v>
      </c>
      <c r="C16" s="7" t="n">
        <v>1.5</v>
      </c>
      <c r="D16" s="7">
        <f>B16*C16</f>
        <v/>
      </c>
    </row>
    <row r="17">
      <c r="A17" s="4" t="inlineStr">
        <is>
          <t>8. الطباعة وملفات PDF  (الوزن: 1)</t>
        </is>
      </c>
      <c r="B17" s="6" t="n">
        <v>2</v>
      </c>
      <c r="C17" s="7" t="n">
        <v>1</v>
      </c>
      <c r="D17" s="7">
        <f>B17*C17</f>
        <v/>
      </c>
    </row>
    <row r="18">
      <c r="A18" s="4" t="inlineStr">
        <is>
          <t>9. الفروع/الأقسام/تعدد الجهات  (الوزن: 1.5)</t>
        </is>
      </c>
      <c r="B18" s="6" t="n">
        <v>2</v>
      </c>
      <c r="C18" s="7" t="n">
        <v>1.5</v>
      </c>
      <c r="D18" s="7">
        <f>B18*C18</f>
        <v/>
      </c>
    </row>
    <row r="19">
      <c r="A19" s="4" t="inlineStr">
        <is>
          <t>10. النشر والاستضافة  (الوزن: 1)</t>
        </is>
      </c>
      <c r="B19" s="6" t="n">
        <v>3</v>
      </c>
      <c r="C19" s="7" t="n">
        <v>1</v>
      </c>
      <c r="D19" s="7">
        <f>B19*C19</f>
        <v/>
      </c>
    </row>
    <row r="20">
      <c r="A20" s="4" t="inlineStr">
        <is>
          <t>11. التدريب والتوثيق  (الوزن: 1)</t>
        </is>
      </c>
      <c r="B20" s="6" t="n">
        <v>2</v>
      </c>
      <c r="C20" s="7" t="n">
        <v>1</v>
      </c>
      <c r="D20" s="7">
        <f>B20*C20</f>
        <v/>
      </c>
    </row>
    <row r="21">
      <c r="A21" s="4" t="inlineStr">
        <is>
          <t>12. الاختبار والجودة QA  (الوزن: 1.5)</t>
        </is>
      </c>
      <c r="B21" s="6" t="n">
        <v>2</v>
      </c>
      <c r="C21" s="7" t="n">
        <v>1.5</v>
      </c>
      <c r="D21" s="7">
        <f>B21*C21</f>
        <v/>
      </c>
    </row>
    <row r="22">
      <c r="A22" s="4" t="inlineStr">
        <is>
          <t>الدرجة الموزونة (Weighted Score)</t>
        </is>
      </c>
      <c r="B22" s="8">
        <f>SUM(D10:D21)</f>
        <v/>
      </c>
    </row>
    <row r="23">
      <c r="A23" s="4" t="inlineStr">
        <is>
          <t>Complexity Index (%)</t>
        </is>
      </c>
      <c r="B23" s="8">
        <f>(B22/92.5)*100</f>
        <v/>
      </c>
    </row>
    <row r="25">
      <c r="A25" s="2" t="inlineStr">
        <is>
          <t>المضاعفات</t>
        </is>
      </c>
      <c r="B25" s="20" t="n"/>
      <c r="C25" s="20" t="n"/>
      <c r="D25" s="20" t="n"/>
      <c r="E25" s="20" t="n"/>
    </row>
    <row r="26">
      <c r="A26" s="4" t="inlineStr">
        <is>
          <t>المنصة</t>
        </is>
      </c>
      <c r="B26" s="6" t="inlineStr">
        <is>
          <t>Web Responsive جيد</t>
        </is>
      </c>
      <c r="C26" s="9" t="inlineStr">
        <is>
          <t>المضاعف:</t>
        </is>
      </c>
      <c r="D26" s="10">
        <f>IFERROR(VLOOKUP(B26,Platforms!A:B,2,FALSE),1)</f>
        <v/>
      </c>
    </row>
    <row r="27">
      <c r="A27" s="4" t="inlineStr">
        <is>
          <t>اللغة</t>
        </is>
      </c>
      <c r="B27" s="6" t="inlineStr">
        <is>
          <t>Web Responsive جيد</t>
        </is>
      </c>
      <c r="C27" s="9" t="inlineStr">
        <is>
          <t>المضاعف:</t>
        </is>
      </c>
      <c r="D27" s="10">
        <f>IFERROR(VLOOKUP(B27,Languages!A:B,2,FALSE),1)</f>
        <v/>
      </c>
    </row>
    <row r="28">
      <c r="A28" s="4" t="inlineStr">
        <is>
          <t>هامش المخاطر (Risk)</t>
        </is>
      </c>
      <c r="B28" s="6" t="inlineStr">
        <is>
          <t>لغة واحدة</t>
        </is>
      </c>
      <c r="C28" s="9" t="inlineStr">
        <is>
          <t>النسبة:</t>
        </is>
      </c>
      <c r="D28" s="11">
        <f>IFERROR(VLOOKUP(B28,RiskLevels!A:B,2,FALSE),0.05)</f>
        <v/>
      </c>
    </row>
    <row r="29">
      <c r="A29" s="4" t="inlineStr">
        <is>
          <t>بدل الاستعجال (Rush)</t>
        </is>
      </c>
      <c r="B29" s="6" t="inlineStr">
        <is>
          <t>منخفض — متطلبات واضحة</t>
        </is>
      </c>
      <c r="C29" s="9" t="inlineStr">
        <is>
          <t>النسبة:</t>
        </is>
      </c>
      <c r="D29" s="11">
        <f>IFERROR(VLOOKUP(B29,RushLevels!A:B,2,FALSE),0)</f>
        <v/>
      </c>
    </row>
    <row r="30">
      <c r="B30" t="inlineStr">
        <is>
          <t>لا يوجد استعجال</t>
        </is>
      </c>
    </row>
    <row r="31">
      <c r="A31" s="2" t="inlineStr">
        <is>
          <t>الإضافات (Add-ons)</t>
        </is>
      </c>
      <c r="B31" s="20" t="n"/>
      <c r="C31" s="20" t="n"/>
      <c r="D31" s="20" t="n"/>
      <c r="E31" s="20" t="n"/>
    </row>
    <row r="32">
      <c r="A32" s="12" t="inlineStr">
        <is>
          <t>البند</t>
        </is>
      </c>
      <c r="B32" s="13" t="inlineStr">
        <is>
          <t>المستوى</t>
        </is>
      </c>
      <c r="C32" s="13" t="inlineStr">
        <is>
          <t>القيمة</t>
        </is>
      </c>
    </row>
    <row r="33">
      <c r="A33" s="4" t="inlineStr">
        <is>
          <t>Payment Gateway</t>
        </is>
      </c>
      <c r="B33" s="6" t="inlineStr">
        <is>
          <t>لا شيء</t>
        </is>
      </c>
      <c r="C33" s="14" t="n">
        <v>0</v>
      </c>
    </row>
    <row r="34">
      <c r="A34" s="4" t="inlineStr">
        <is>
          <t>SMS / WhatsApp</t>
        </is>
      </c>
      <c r="B34" s="6" t="inlineStr">
        <is>
          <t>لا شيء</t>
        </is>
      </c>
      <c r="C34" s="14" t="n">
        <v>0</v>
      </c>
    </row>
    <row r="35">
      <c r="A35" s="4" t="inlineStr">
        <is>
          <t>ERP Integration</t>
        </is>
      </c>
      <c r="B35" s="6" t="inlineStr">
        <is>
          <t>لا شيء</t>
        </is>
      </c>
      <c r="C35" s="14" t="n">
        <v>0</v>
      </c>
    </row>
    <row r="36">
      <c r="A36" s="4" t="inlineStr">
        <is>
          <t>ترحيل بيانات</t>
        </is>
      </c>
      <c r="B36" s="6" t="inlineStr">
        <is>
          <t>لا شيء</t>
        </is>
      </c>
      <c r="C36" s="14" t="n">
        <v>0</v>
      </c>
    </row>
    <row r="37">
      <c r="A37" s="4" t="inlineStr">
        <is>
          <t>Import/Export Excel</t>
        </is>
      </c>
      <c r="B37" s="6" t="inlineStr">
        <is>
          <t>لا شيء</t>
        </is>
      </c>
      <c r="C37" s="14" t="n">
        <v>0</v>
      </c>
    </row>
    <row r="38">
      <c r="A38" s="4" t="inlineStr">
        <is>
          <t>File Storage</t>
        </is>
      </c>
      <c r="B38" s="6" t="inlineStr">
        <is>
          <t>لا شيء</t>
        </is>
      </c>
      <c r="C38" s="14" t="n">
        <v>0</v>
      </c>
    </row>
    <row r="39">
      <c r="A39" s="4" t="inlineStr">
        <is>
          <t>BI / تقارير متقدمة</t>
        </is>
      </c>
      <c r="B39" s="6" t="inlineStr">
        <is>
          <t>لا شيء</t>
        </is>
      </c>
      <c r="C39" s="14" t="n">
        <v>0</v>
      </c>
    </row>
    <row r="40">
      <c r="A40" s="4" t="inlineStr">
        <is>
          <t>صلاحيات متقدمة (خارج النطاق)</t>
        </is>
      </c>
      <c r="B40" s="6" t="inlineStr">
        <is>
          <t>لا شيء</t>
        </is>
      </c>
      <c r="C40" s="14" t="n">
        <v>0</v>
      </c>
    </row>
    <row r="41">
      <c r="A41" s="4" t="inlineStr">
        <is>
          <t>إجمالي الإضافات</t>
        </is>
      </c>
      <c r="C41" s="14">
        <f>SUM(C33:C40)</f>
        <v/>
      </c>
    </row>
    <row r="43">
      <c r="A43" s="2" t="inlineStr">
        <is>
          <t>الحد الأدنى الربحي (Minimum Profitable Price)</t>
        </is>
      </c>
      <c r="B43" s="20" t="n"/>
      <c r="C43" s="20" t="n"/>
      <c r="D43" s="20" t="n"/>
      <c r="E43" s="20" t="n"/>
    </row>
    <row r="44">
      <c r="A44" s="4" t="inlineStr">
        <is>
          <t>الساعات المقدرة للتنفيذ</t>
        </is>
      </c>
      <c r="B44" s="6" t="n">
        <v>0</v>
      </c>
    </row>
    <row r="45">
      <c r="A45" s="4" t="inlineStr">
        <is>
          <t>Internal Hourly Rate</t>
        </is>
      </c>
      <c r="B45" s="13" t="n">
        <v>95</v>
      </c>
    </row>
    <row r="46">
      <c r="A46" s="4" t="inlineStr">
        <is>
          <t>Minimum Profitable Price (JOD)</t>
        </is>
      </c>
      <c r="B46" s="15">
        <f>B44*B45</f>
        <v/>
      </c>
    </row>
    <row r="48">
      <c r="A48" s="2" t="inlineStr">
        <is>
          <t>النتيجة النهائية</t>
        </is>
      </c>
      <c r="B48" s="20" t="n"/>
      <c r="C48" s="20" t="n"/>
      <c r="D48" s="20" t="n"/>
      <c r="E48" s="20" t="n"/>
    </row>
    <row r="49">
      <c r="A49" s="4" t="inlineStr">
        <is>
          <t>1  |  السعر الأساسي (Base Price)</t>
        </is>
      </c>
      <c r="B49" s="14">
        <f>IF(B23&lt;=20, 75+(B23-0)*(170-75)/(20-0), IF(B23&lt;=40,  170+(B23-20)*(350-170)/(40-20),  IF(B23&lt;=60,   350+(B23-40)*(700-350)/(60-40),   IF(B23&lt;=70,    700+(B23-60)*(1400-700)/(70-60),    IF(B23&lt;=80,     1400+(B23-70)*(2400-1400)/(80-70),     "خارج الآلية (SOW)"   )))))</f>
        <v/>
      </c>
    </row>
    <row r="50">
      <c r="A50" s="4" t="inlineStr"/>
      <c r="B50" s="7">
        <f>IF(ISTEXT(B49),"⚠️ يتطلب SOW","✓ ضمن النطاق")</f>
        <v/>
      </c>
    </row>
    <row r="51">
      <c r="A51" s="4" t="inlineStr">
        <is>
          <t>2  |  بعد مضاعف المنصة</t>
        </is>
      </c>
      <c r="B51" s="16">
        <f>ROUND(E51,2)</f>
        <v/>
      </c>
      <c r="E51">
        <f>B49*D26</f>
        <v/>
      </c>
    </row>
    <row r="52">
      <c r="A52" s="4" t="inlineStr">
        <is>
          <t>3  |  بعد مضاعف اللغة</t>
        </is>
      </c>
      <c r="B52" s="16">
        <f>ROUND(E52,2)</f>
        <v/>
      </c>
      <c r="E52">
        <f>B51*D27</f>
        <v/>
      </c>
    </row>
    <row r="53">
      <c r="A53" s="4" t="inlineStr">
        <is>
          <t>4  |  بعد الإضافات</t>
        </is>
      </c>
      <c r="B53" s="16">
        <f>ROUND(E53,2)</f>
        <v/>
      </c>
      <c r="E53">
        <f>B52+C41</f>
        <v/>
      </c>
    </row>
    <row r="54">
      <c r="A54" s="4" t="inlineStr">
        <is>
          <t>5  |  بعد هامش المخاطر</t>
        </is>
      </c>
      <c r="B54" s="16">
        <f>ROUND(E54,2)</f>
        <v/>
      </c>
      <c r="E54">
        <f>B53*(1+D28)</f>
        <v/>
      </c>
    </row>
    <row r="55">
      <c r="A55" s="4" t="inlineStr">
        <is>
          <t>6  |  بعد بدل الاستعجال</t>
        </is>
      </c>
      <c r="B55" s="16">
        <f>ROUND(E55,2)</f>
        <v/>
      </c>
      <c r="E55">
        <f>B54*(1+D29)</f>
        <v/>
      </c>
    </row>
    <row r="57">
      <c r="A57" s="12" t="inlineStr">
        <is>
          <t>✅   السعر المعتمد النهائي (JOD)</t>
        </is>
      </c>
      <c r="B57" s="17">
        <f>ROUND(E57,0)</f>
        <v/>
      </c>
      <c r="E57">
        <f>MAX(B55,100,B46)</f>
        <v/>
      </c>
    </row>
    <row r="59">
      <c r="A59" s="4" t="inlineStr">
        <is>
          <t>🔍  فحص التناسب (Add-ons ≤ 50% من Base Price)</t>
        </is>
      </c>
      <c r="B59" s="18">
        <f>IF(ISTEXT(B49),"N/A",IF(C41&lt;=0.5*B49,"✅ ضمن الحد","⚠️ تجاوز — راجع قاعدة الاستثناء في السياسة"))</f>
        <v/>
      </c>
    </row>
    <row r="60">
      <c r="A60" s="4" t="inlineStr">
        <is>
          <t>تصنيف السعر</t>
        </is>
      </c>
      <c r="B60" s="18">
        <f>IF(B57&lt;700,"أقل من 700 — دفعة 60/40",IF(B57&lt;2500,"700-2500 — دفعة 50/25/25","أكثر من 2500 — دفعة 40/40/20"))</f>
        <v/>
      </c>
    </row>
  </sheetData>
  <mergeCells count="7">
    <mergeCell ref="A48:E48"/>
    <mergeCell ref="A43:E43"/>
    <mergeCell ref="A25:E25"/>
    <mergeCell ref="A1:E1"/>
    <mergeCell ref="A31:E31"/>
    <mergeCell ref="A9:E9"/>
    <mergeCell ref="A3:E3"/>
  </mergeCells>
  <dataValidations count="25">
    <dataValidation sqref="B10" showDropDown="0" showInputMessage="0" showErrorMessage="0" allowBlank="0" promptTitle="الدرجة" prompt="أدخل درجة من 0 إلى 5" type="whole" operator="between">
      <formula1>0</formula1>
      <formula2>5</formula2>
    </dataValidation>
    <dataValidation sqref="B11" showDropDown="0" showInputMessage="0" showErrorMessage="0" allowBlank="0" promptTitle="الدرجة" prompt="أدخل درجة من 0 إلى 5" type="whole" operator="between">
      <formula1>0</formula1>
      <formula2>5</formula2>
    </dataValidation>
    <dataValidation sqref="B12" showDropDown="0" showInputMessage="0" showErrorMessage="0" allowBlank="0" promptTitle="الدرجة" prompt="أدخل درجة من 0 إلى 5" type="whole" operator="between">
      <formula1>0</formula1>
      <formula2>5</formula2>
    </dataValidation>
    <dataValidation sqref="B13" showDropDown="0" showInputMessage="0" showErrorMessage="0" allowBlank="0" promptTitle="الدرجة" prompt="أدخل درجة من 0 إلى 5" type="whole" operator="between">
      <formula1>0</formula1>
      <formula2>5</formula2>
    </dataValidation>
    <dataValidation sqref="B14" showDropDown="0" showInputMessage="0" showErrorMessage="0" allowBlank="0" promptTitle="الدرجة" prompt="أدخل درجة من 0 إلى 5" type="whole" operator="between">
      <formula1>0</formula1>
      <formula2>5</formula2>
    </dataValidation>
    <dataValidation sqref="B15" showDropDown="0" showInputMessage="0" showErrorMessage="0" allowBlank="0" promptTitle="الدرجة" prompt="أدخل درجة من 0 إلى 5" type="whole" operator="between">
      <formula1>0</formula1>
      <formula2>5</formula2>
    </dataValidation>
    <dataValidation sqref="B16" showDropDown="0" showInputMessage="0" showErrorMessage="0" allowBlank="0" promptTitle="الدرجة" prompt="أدخل درجة من 0 إلى 5" type="whole" operator="between">
      <formula1>0</formula1>
      <formula2>5</formula2>
    </dataValidation>
    <dataValidation sqref="B17" showDropDown="0" showInputMessage="0" showErrorMessage="0" allowBlank="0" promptTitle="الدرجة" prompt="أدخل درجة من 0 إلى 5" type="whole" operator="between">
      <formula1>0</formula1>
      <formula2>5</formula2>
    </dataValidation>
    <dataValidation sqref="B18" showDropDown="0" showInputMessage="0" showErrorMessage="0" allowBlank="0" promptTitle="الدرجة" prompt="أدخل درجة من 0 إلى 5" type="whole" operator="between">
      <formula1>0</formula1>
      <formula2>5</formula2>
    </dataValidation>
    <dataValidation sqref="B19" showDropDown="0" showInputMessage="0" showErrorMessage="0" allowBlank="0" promptTitle="الدرجة" prompt="أدخل درجة من 0 إلى 5" type="whole" operator="between">
      <formula1>0</formula1>
      <formula2>5</formula2>
    </dataValidation>
    <dataValidation sqref="B20" showDropDown="0" showInputMessage="0" showErrorMessage="0" allowBlank="0" promptTitle="الدرجة" prompt="أدخل درجة من 0 إلى 5" type="whole" operator="between">
      <formula1>0</formula1>
      <formula2>5</formula2>
    </dataValidation>
    <dataValidation sqref="B21" showDropDown="0" showInputMessage="0" showErrorMessage="0" allowBlank="0" promptTitle="الدرجة" prompt="أدخل درجة من 0 إلى 5" type="whole" operator="between">
      <formula1>0</formula1>
      <formula2>5</formula2>
    </dataValidation>
    <dataValidation sqref="B26" showDropDown="0" showInputMessage="0" showErrorMessage="1" allowBlank="1" error="الرجاء اختيار قيمة من القائمة فقط" prompt="اختر من القائمة" type="list">
      <formula1>"Web فقط (بدون Responsive),Web Responsive جيد,Web + PWA بسيطة,Web + PWA مع Offline/Install/Push,Web + Android WebView/Hybrid بسيط,Web + Android Native,Web + Android + iOS,Web + Android + iOS Native كامل,Native Mobile منفصل"</formula1>
    </dataValidation>
    <dataValidation sqref="B27" showDropDown="0" showInputMessage="0" showErrorMessage="1" allowBlank="1" error="الرجاء اختيار قيمة من القائمة فقط" prompt="اختر من القائمة" type="list">
      <formula1>"لغة واحدة,لغتان بدون RTL/LTR كامل,عربي/إنجليزي RTL/LTR أساسي,عربي/إنجليزي RTL/LTR كامل,أكثر من لغتين واجهات محدودة,أكثر من لغتين كامل"</formula1>
    </dataValidation>
    <dataValidation sqref="B28" showDropDown="0" showInputMessage="0" showErrorMessage="1" allowBlank="1" error="الرجاء اختيار قيمة من القائمة فقط" prompt="اختر من القائمة" type="list">
      <formula1>"منخفض — متطلبات واضحة,متوسط — تفاصيل ناقصة,مرتفع — عميل متردد,عالي جداً — نطاق غير مستقر"</formula1>
    </dataValidation>
    <dataValidation sqref="B29" showDropDown="0" showInputMessage="0" showErrorMessage="1" allowBlank="1" error="الرجاء اختيار قيمة من القائمة فقط" prompt="اختر من القائمة" type="list">
      <formula1>"لا يوجد استعجال,خفيف — تقليل 20-30%,واضح — تقليل 31-50%,حاد — تقليل &gt;50%"</formula1>
    </dataValidation>
    <dataValidation sqref="B33" showDropDown="0" showInputMessage="0" showErrorMessage="1" allowBlank="1" error="الرجاء اختيار قيمة من القائمة فقط" prompt="اختر من القائمة" type="list">
      <formula1>"لا شيء,بسيط,متوسط,معقد / حساس"</formula1>
    </dataValidation>
    <dataValidation sqref="B34" showDropDown="0" showInputMessage="0" showErrorMessage="1" allowBlank="1" error="الرجاء اختيار قيمة من القائمة فقط" prompt="اختر من القائمة" type="list">
      <formula1>"لا شيء,بسيط,متوسط,معقد / حساس"</formula1>
    </dataValidation>
    <dataValidation sqref="B35" showDropDown="0" showInputMessage="0" showErrorMessage="1" allowBlank="1" error="الرجاء اختيار قيمة من القائمة فقط" prompt="اختر من القائمة" type="list">
      <formula1>"لا شيء,بسيط,متوسط,معقد / حساس"</formula1>
    </dataValidation>
    <dataValidation sqref="B36" showDropDown="0" showInputMessage="0" showErrorMessage="1" allowBlank="1" error="الرجاء اختيار قيمة من القائمة فقط" prompt="اختر من القائمة" type="list">
      <formula1>"لا شيء,بسيط,متوسط,معقد / حساس"</formula1>
    </dataValidation>
    <dataValidation sqref="B37" showDropDown="0" showInputMessage="0" showErrorMessage="1" allowBlank="1" error="الرجاء اختيار قيمة من القائمة فقط" prompt="اختر من القائمة" type="list">
      <formula1>"لا شيء,بسيط,متوسط,معقد / حساس"</formula1>
    </dataValidation>
    <dataValidation sqref="B38" showDropDown="0" showInputMessage="0" showErrorMessage="1" allowBlank="1" error="الرجاء اختيار قيمة من القائمة فقط" prompt="اختر من القائمة" type="list">
      <formula1>"لا شيء,بسيط,متوسط,معقد / حساس"</formula1>
    </dataValidation>
    <dataValidation sqref="B39" showDropDown="0" showInputMessage="0" showErrorMessage="1" allowBlank="1" error="الرجاء اختيار قيمة من القائمة فقط" prompt="اختر من القائمة" type="list">
      <formula1>"لا شيء,بسيط,متوسط,معقد / حساس"</formula1>
    </dataValidation>
    <dataValidation sqref="B40" showDropDown="0" showInputMessage="0" showErrorMessage="1" allowBlank="1" error="الرجاء اختيار قيمة من القائمة فقط" prompt="اختر من القائمة" type="list">
      <formula1>"لا شيء,بسيط,متوسط,معقد / حساس"</formula1>
    </dataValidation>
    <dataValidation sqref="B44" showDropDown="0" showInputMessage="0" showErrorMessage="0" allowBlank="0" error="يجب أن يكون الرقم أكبر من 0" prompt="أدخل عدد الساعات المقدرة" type="whole" operator="greaterThan">
      <formula1>0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 فقط (بدون Responsive)</t>
        </is>
      </c>
      <c r="B1" t="n">
        <v>0.9</v>
      </c>
    </row>
    <row r="2">
      <c r="A2" t="inlineStr">
        <is>
          <t>Web Responsive جيد</t>
        </is>
      </c>
      <c r="B2" t="n">
        <v>1</v>
      </c>
    </row>
    <row r="3">
      <c r="A3" t="inlineStr">
        <is>
          <t>Web + PWA بسيطة</t>
        </is>
      </c>
      <c r="B3" t="n">
        <v>1.1</v>
      </c>
    </row>
    <row r="4">
      <c r="A4" t="inlineStr">
        <is>
          <t>Web + PWA مع Offline/Install/Push</t>
        </is>
      </c>
      <c r="B4" t="n">
        <v>1.2</v>
      </c>
    </row>
    <row r="5">
      <c r="A5" t="inlineStr">
        <is>
          <t>Web + Android WebView/Hybrid بسيط</t>
        </is>
      </c>
      <c r="B5" t="n">
        <v>1.35</v>
      </c>
    </row>
    <row r="6">
      <c r="A6" t="inlineStr">
        <is>
          <t>Web + Android Native</t>
        </is>
      </c>
      <c r="B6" t="n">
        <v>1.5</v>
      </c>
    </row>
    <row r="7">
      <c r="A7" t="inlineStr">
        <is>
          <t>Web + Android + iOS</t>
        </is>
      </c>
      <c r="B7" t="n">
        <v>1.8</v>
      </c>
    </row>
    <row r="8">
      <c r="A8" t="inlineStr">
        <is>
          <t>Web + Android + iOS Native كامل</t>
        </is>
      </c>
      <c r="B8" t="n">
        <v>2.1</v>
      </c>
    </row>
    <row r="9">
      <c r="A9" t="inlineStr">
        <is>
          <t>Native Mobile منفصل</t>
        </is>
      </c>
      <c r="B9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لغة واحدة</t>
        </is>
      </c>
      <c r="B1" t="n">
        <v>1</v>
      </c>
    </row>
    <row r="2">
      <c r="A2" t="inlineStr">
        <is>
          <t>لغتان بدون RTL/LTR كامل</t>
        </is>
      </c>
      <c r="B2" t="n">
        <v>1.1</v>
      </c>
    </row>
    <row r="3">
      <c r="A3" t="inlineStr">
        <is>
          <t>عربي/إنجليزي RTL/LTR أساسي</t>
        </is>
      </c>
      <c r="B3" t="n">
        <v>1.15</v>
      </c>
    </row>
    <row r="4">
      <c r="A4" t="inlineStr">
        <is>
          <t>عربي/إنجليزي RTL/LTR كامل</t>
        </is>
      </c>
      <c r="B4" t="n">
        <v>1.25</v>
      </c>
    </row>
    <row r="5">
      <c r="A5" t="inlineStr">
        <is>
          <t>أكثر من لغتين واجهات محدودة</t>
        </is>
      </c>
      <c r="B5" t="n">
        <v>1.25</v>
      </c>
    </row>
    <row r="6">
      <c r="A6" t="inlineStr">
        <is>
          <t>أكثر من لغتين كامل</t>
        </is>
      </c>
      <c r="B6" t="n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منخفض — متطلبات واضحة</t>
        </is>
      </c>
      <c r="B1" t="n">
        <v>0.05</v>
      </c>
    </row>
    <row r="2">
      <c r="A2" t="inlineStr">
        <is>
          <t>متوسط — تفاصيل ناقصة</t>
        </is>
      </c>
      <c r="B2" t="n">
        <v>0.1</v>
      </c>
    </row>
    <row r="3">
      <c r="A3" t="inlineStr">
        <is>
          <t>مرتفع — عميل متردد</t>
        </is>
      </c>
      <c r="B3" t="n">
        <v>0.15</v>
      </c>
    </row>
    <row r="4">
      <c r="A4" t="inlineStr">
        <is>
          <t>عالي جداً — نطاق غير مستقر</t>
        </is>
      </c>
      <c r="B4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لا يوجد استعجال</t>
        </is>
      </c>
      <c r="B1" t="n">
        <v>0</v>
      </c>
    </row>
    <row r="2">
      <c r="A2" t="inlineStr">
        <is>
          <t>خفيف — تقليل 20-30%</t>
        </is>
      </c>
      <c r="B2" t="n">
        <v>0.1</v>
      </c>
    </row>
    <row r="3">
      <c r="A3" t="inlineStr">
        <is>
          <t>واضح — تقليل 31-50%</t>
        </is>
      </c>
      <c r="B3" t="n">
        <v>0.2</v>
      </c>
    </row>
    <row r="4">
      <c r="A4" t="inlineStr">
        <is>
          <t>حاد — تقليل &gt;50%</t>
        </is>
      </c>
      <c r="B4" t="n">
        <v>0.35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البند</t>
        </is>
      </c>
      <c r="B1" s="19" t="inlineStr">
        <is>
          <t>لا شيء</t>
        </is>
      </c>
      <c r="C1" s="19" t="inlineStr">
        <is>
          <t>بسيط</t>
        </is>
      </c>
      <c r="D1" s="19" t="inlineStr">
        <is>
          <t>متوسط</t>
        </is>
      </c>
      <c r="E1" s="19" t="inlineStr">
        <is>
          <t>معقد / حساس</t>
        </is>
      </c>
    </row>
    <row r="2">
      <c r="A2" t="inlineStr">
        <is>
          <t>Payment Gateway</t>
        </is>
      </c>
      <c r="B2" t="n">
        <v>0</v>
      </c>
      <c r="C2" t="n">
        <v>100</v>
      </c>
      <c r="D2" t="n">
        <v>200</v>
      </c>
      <c r="E2" t="n">
        <v>350</v>
      </c>
    </row>
    <row r="3">
      <c r="A3" t="inlineStr">
        <is>
          <t>SMS / WhatsApp</t>
        </is>
      </c>
      <c r="B3" t="n">
        <v>0</v>
      </c>
      <c r="C3" t="n">
        <v>50</v>
      </c>
      <c r="D3" t="n">
        <v>100</v>
      </c>
      <c r="E3" t="n">
        <v>200</v>
      </c>
    </row>
    <row r="4">
      <c r="A4" t="inlineStr">
        <is>
          <t>ERP Integration</t>
        </is>
      </c>
      <c r="B4" t="n">
        <v>0</v>
      </c>
      <c r="C4" t="n">
        <v>200</v>
      </c>
      <c r="D4" t="n">
        <v>400</v>
      </c>
      <c r="E4" t="n">
        <v>700</v>
      </c>
    </row>
    <row r="5">
      <c r="A5" t="inlineStr">
        <is>
          <t>ترحيل بيانات</t>
        </is>
      </c>
      <c r="B5" t="n">
        <v>0</v>
      </c>
      <c r="C5" t="n">
        <v>100</v>
      </c>
      <c r="D5" t="n">
        <v>300</v>
      </c>
      <c r="E5" t="n">
        <v>600</v>
      </c>
    </row>
    <row r="6">
      <c r="A6" t="inlineStr">
        <is>
          <t>Import/Export Excel</t>
        </is>
      </c>
      <c r="B6" t="n">
        <v>0</v>
      </c>
      <c r="C6" t="n">
        <v>50</v>
      </c>
      <c r="D6" t="n">
        <v>150</v>
      </c>
      <c r="E6" t="n">
        <v>250</v>
      </c>
    </row>
    <row r="7">
      <c r="A7" t="inlineStr">
        <is>
          <t>File Storage</t>
        </is>
      </c>
      <c r="B7" t="n">
        <v>0</v>
      </c>
      <c r="C7" t="n">
        <v>35</v>
      </c>
      <c r="D7" t="n">
        <v>100</v>
      </c>
      <c r="E7" t="n">
        <v>200</v>
      </c>
    </row>
    <row r="8">
      <c r="A8" t="inlineStr">
        <is>
          <t>BI / تقارير متقدمة</t>
        </is>
      </c>
      <c r="B8" t="n">
        <v>0</v>
      </c>
      <c r="C8" t="n">
        <v>100</v>
      </c>
      <c r="D8" t="n">
        <v>250</v>
      </c>
      <c r="E8" t="n">
        <v>400</v>
      </c>
    </row>
    <row r="9">
      <c r="A9" t="inlineStr">
        <is>
          <t>صلاحيات متقدمة (خارج النطاق)</t>
        </is>
      </c>
      <c r="B9" t="n">
        <v>0</v>
      </c>
      <c r="C9" t="n">
        <v>75</v>
      </c>
      <c r="D9" t="n">
        <v>200</v>
      </c>
      <c r="E9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2026-07-05T13:26:01Z</dcterms:created>
  <dcterms:modified xmlns:dcterms="http://purl.org/dc/terms/" xmlns:xsi="http://www.w3.org/2001/XMLSchema-instance" xsi:type="dcterms:W3CDTF">2026-07-05T13:30:30Z</dcterms:modified>
</cp:coreProperties>
</file>